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Imag\"/>
    </mc:Choice>
  </mc:AlternateContent>
  <xr:revisionPtr revIDLastSave="0" documentId="13_ncr:1_{70E94FC7-344A-4BE3-AD22-26A15874252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22" i="1"/>
  <c r="E5" i="1"/>
  <c r="P10" i="1"/>
  <c r="D10" i="1"/>
  <c r="K10" i="1" s="1"/>
  <c r="E10" i="1"/>
  <c r="M10" i="1" s="1"/>
  <c r="P5" i="1"/>
  <c r="D5" i="1"/>
  <c r="K5" i="1" s="1"/>
  <c r="G5" i="1"/>
  <c r="P7" i="1"/>
  <c r="P8" i="1"/>
  <c r="P9" i="1"/>
  <c r="P11" i="1"/>
  <c r="P12" i="1"/>
  <c r="P13" i="1"/>
  <c r="P14" i="1"/>
  <c r="P16" i="1"/>
  <c r="P17" i="1"/>
  <c r="P18" i="1"/>
  <c r="P19" i="1"/>
  <c r="P20" i="1"/>
  <c r="P21" i="1"/>
  <c r="P23" i="1"/>
  <c r="P24" i="1"/>
  <c r="P6" i="1"/>
  <c r="D9" i="1"/>
  <c r="F9" i="1" s="1"/>
  <c r="E9" i="1"/>
  <c r="G9" i="1" s="1"/>
  <c r="E20" i="1"/>
  <c r="M20" i="1" s="1"/>
  <c r="E19" i="1"/>
  <c r="G19" i="1" s="1"/>
  <c r="D20" i="1"/>
  <c r="F20" i="1" s="1"/>
  <c r="D19" i="1"/>
  <c r="K19" i="1" s="1"/>
  <c r="F19" i="1"/>
  <c r="E7" i="1"/>
  <c r="G7" i="1" s="1"/>
  <c r="E8" i="1"/>
  <c r="G8" i="1" s="1"/>
  <c r="E11" i="1"/>
  <c r="M11" i="1" s="1"/>
  <c r="E12" i="1"/>
  <c r="M12" i="1" s="1"/>
  <c r="E13" i="1"/>
  <c r="M13" i="1" s="1"/>
  <c r="E14" i="1"/>
  <c r="M14" i="1" s="1"/>
  <c r="E15" i="1"/>
  <c r="G15" i="1" s="1"/>
  <c r="E16" i="1"/>
  <c r="M16" i="1" s="1"/>
  <c r="E17" i="1"/>
  <c r="M17" i="1" s="1"/>
  <c r="E18" i="1"/>
  <c r="M18" i="1" s="1"/>
  <c r="E21" i="1"/>
  <c r="M21" i="1" s="1"/>
  <c r="E22" i="1"/>
  <c r="M22" i="1" s="1"/>
  <c r="E23" i="1"/>
  <c r="G23" i="1" s="1"/>
  <c r="E24" i="1"/>
  <c r="G24" i="1" s="1"/>
  <c r="E6" i="1"/>
  <c r="G6" i="1" s="1"/>
  <c r="D7" i="1"/>
  <c r="K7" i="1" s="1"/>
  <c r="D8" i="1"/>
  <c r="F8" i="1" s="1"/>
  <c r="D11" i="1"/>
  <c r="K11" i="1" s="1"/>
  <c r="D12" i="1"/>
  <c r="F12" i="1" s="1"/>
  <c r="D13" i="1"/>
  <c r="F13" i="1" s="1"/>
  <c r="D14" i="1"/>
  <c r="F14" i="1" s="1"/>
  <c r="D15" i="1"/>
  <c r="K15" i="1" s="1"/>
  <c r="D16" i="1"/>
  <c r="F16" i="1" s="1"/>
  <c r="D17" i="1"/>
  <c r="K17" i="1" s="1"/>
  <c r="D18" i="1"/>
  <c r="K18" i="1" s="1"/>
  <c r="D21" i="1"/>
  <c r="F21" i="1" s="1"/>
  <c r="D22" i="1"/>
  <c r="F22" i="1" s="1"/>
  <c r="D23" i="1"/>
  <c r="K23" i="1" s="1"/>
  <c r="D24" i="1"/>
  <c r="K24" i="1" s="1"/>
  <c r="D6" i="1"/>
  <c r="F6" i="1" s="1"/>
  <c r="M8" i="1" l="1"/>
  <c r="K8" i="1"/>
  <c r="M7" i="1"/>
  <c r="F15" i="1"/>
  <c r="F5" i="1"/>
  <c r="F11" i="1"/>
  <c r="G22" i="1"/>
  <c r="G21" i="1"/>
  <c r="G18" i="1"/>
  <c r="G17" i="1"/>
  <c r="M15" i="1"/>
  <c r="G16" i="1"/>
  <c r="K22" i="1"/>
  <c r="K16" i="1"/>
  <c r="F24" i="1"/>
  <c r="G14" i="1"/>
  <c r="F23" i="1"/>
  <c r="G13" i="1"/>
  <c r="K14" i="1"/>
  <c r="M5" i="1"/>
  <c r="G12" i="1"/>
  <c r="K21" i="1"/>
  <c r="G11" i="1"/>
  <c r="K20" i="1"/>
  <c r="F18" i="1"/>
  <c r="F17" i="1"/>
  <c r="G20" i="1"/>
  <c r="K9" i="1"/>
  <c r="M6" i="1"/>
  <c r="K13" i="1"/>
  <c r="M9" i="1"/>
  <c r="M19" i="1"/>
  <c r="M24" i="1"/>
  <c r="F7" i="1"/>
  <c r="M23" i="1"/>
  <c r="K12" i="1"/>
  <c r="K6" i="1"/>
</calcChain>
</file>

<file path=xl/sharedStrings.xml><?xml version="1.0" encoding="utf-8"?>
<sst xmlns="http://schemas.openxmlformats.org/spreadsheetml/2006/main" count="152" uniqueCount="54">
  <si>
    <t>num</t>
  </si>
  <si>
    <t>x cm</t>
  </si>
  <si>
    <t>ycm</t>
  </si>
  <si>
    <t>Lx&amp;Ly ----&gt;</t>
  </si>
  <si>
    <t>2_StocBilles.jpg</t>
  </si>
  <si>
    <t>3_StocBilles.jpg</t>
  </si>
  <si>
    <t>4_Billonnage.jpg</t>
  </si>
  <si>
    <t>5_ScieRennepont.jpg</t>
  </si>
  <si>
    <t>10_ScieADelignier.jpg</t>
  </si>
  <si>
    <t>14_GrueScieBatt.jpg</t>
  </si>
  <si>
    <t>16_QuaiChargement.jpg</t>
  </si>
  <si>
    <t>17_QuaiChargement.jpg</t>
  </si>
  <si>
    <t>19_TransfoSW.jpg</t>
  </si>
  <si>
    <t>21_HanguarCamions.jpg</t>
  </si>
  <si>
    <t>22_LocalSciure.jpg</t>
  </si>
  <si>
    <t>xrelatif</t>
  </si>
  <si>
    <t>yrelatif</t>
  </si>
  <si>
    <t>&lt;---taille image en pixel</t>
  </si>
  <si>
    <t>&lt;---x0, y0</t>
  </si>
  <si>
    <t>18_QuaiChargement.jpg</t>
  </si>
  <si>
    <t>x %</t>
  </si>
  <si>
    <t>y%</t>
  </si>
  <si>
    <t>&lt;MapButton x={</t>
  </si>
  <si>
    <t>} y={</t>
  </si>
  <si>
    <t>} imagePath="../images_H3/</t>
  </si>
  <si>
    <t>6_JeanLeScieur.jpg</t>
  </si>
  <si>
    <t>7_PostPilotScie.jpg</t>
  </si>
  <si>
    <t>8_TapisRoulant.jpg</t>
  </si>
  <si>
    <t>9_LaPropio.jpg</t>
  </si>
  <si>
    <t>1_NW.jpg</t>
  </si>
  <si>
    <t>12_GrandePiece.jpg</t>
  </si>
  <si>
    <t>20_W.jpg</t>
  </si>
  <si>
    <t>11_DossesPapetterie.jpg</t>
  </si>
  <si>
    <r>
      <t>"</t>
    </r>
    <r>
      <rPr>
        <sz val="4"/>
        <color rgb="FFCCCCCC"/>
        <rFont val="Consolas"/>
        <family val="3"/>
      </rPr>
      <t xml:space="preserve"> </t>
    </r>
    <r>
      <rPr>
        <sz val="4"/>
        <color rgb="FF9CDCFE"/>
        <rFont val="Consolas"/>
        <family val="3"/>
      </rPr>
      <t>pointDescription</t>
    </r>
    <r>
      <rPr>
        <sz val="4"/>
        <color rgb="FFD4D4D4"/>
        <rFont val="Consolas"/>
        <family val="3"/>
      </rPr>
      <t>=</t>
    </r>
    <r>
      <rPr>
        <sz val="4"/>
        <color rgb="FFCE9178"/>
        <rFont val="Consolas"/>
        <family val="3"/>
      </rPr>
      <t>"Point 1 description"</t>
    </r>
    <r>
      <rPr>
        <sz val="4"/>
        <color rgb="FFCCCCCC"/>
        <rFont val="Consolas"/>
        <family val="3"/>
      </rPr>
      <t xml:space="preserve"> </t>
    </r>
    <r>
      <rPr>
        <sz val="4"/>
        <color rgb="FF9CDCFE"/>
        <rFont val="Consolas"/>
        <family val="3"/>
      </rPr>
      <t>onClick</t>
    </r>
    <r>
      <rPr>
        <sz val="4"/>
        <color rgb="FFD4D4D4"/>
        <rFont val="Consolas"/>
        <family val="3"/>
      </rPr>
      <t>=</t>
    </r>
    <r>
      <rPr>
        <sz val="4"/>
        <color rgb="FF569CD6"/>
        <rFont val="Consolas"/>
        <family val="3"/>
      </rPr>
      <t>{</t>
    </r>
    <r>
      <rPr>
        <sz val="4"/>
        <color rgb="FFDCDCAA"/>
        <rFont val="Consolas"/>
        <family val="3"/>
      </rPr>
      <t>handlePointClick</t>
    </r>
    <r>
      <rPr>
        <sz val="4"/>
        <color rgb="FF569CD6"/>
        <rFont val="Consolas"/>
        <family val="3"/>
      </rPr>
      <t>}</t>
    </r>
    <r>
      <rPr>
        <sz val="4"/>
        <color rgb="FFCCCCCC"/>
        <rFont val="Consolas"/>
        <family val="3"/>
      </rPr>
      <t xml:space="preserve"> </t>
    </r>
    <r>
      <rPr>
        <sz val="4"/>
        <color rgb="FF808080"/>
        <rFont val="Consolas"/>
        <family val="3"/>
      </rPr>
      <t>/&gt;</t>
    </r>
  </si>
  <si>
    <t xml:space="preserve"> " pointDescription="</t>
  </si>
  <si>
    <t>" onClick={handlePointClick} /&gt;</t>
  </si>
  <si>
    <t>fin</t>
  </si>
  <si>
    <t>Stoc de billes</t>
  </si>
  <si>
    <t>Poste de billonnage</t>
  </si>
  <si>
    <t>La scie Rennepont</t>
  </si>
  <si>
    <t>Jean, le scieur</t>
  </si>
  <si>
    <t>Poste de pilotage</t>
  </si>
  <si>
    <t>Tapis roulant</t>
  </si>
  <si>
    <t>La Propriétaire</t>
  </si>
  <si>
    <t>Une scie à déligner</t>
  </si>
  <si>
    <t>Dosses pour la papetterie</t>
  </si>
  <si>
    <t>La grande pièce du moulin</t>
  </si>
  <si>
    <t>Vestiges de la scie battante</t>
  </si>
  <si>
    <t>Le quai de chargement</t>
  </si>
  <si>
    <t>Le transformateur</t>
  </si>
  <si>
    <t>côté W de la scierie</t>
  </si>
  <si>
    <t>Entrée NW de la scierie</t>
  </si>
  <si>
    <t>Le hangar à camions</t>
  </si>
  <si>
    <t>Le silot à sciure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</si>
</sst>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4"/>
      <color rgb="FF808080"/>
      <name val="Consolas"/>
      <family val="3"/>
    </font>
    <font>
      <sz val="4"/>
      <color rgb="FFCCCCCC"/>
      <name val="Consolas"/>
      <family val="3"/>
    </font>
    <font>
      <sz val="4"/>
      <color rgb="FFCE9178"/>
      <name val="Consolas"/>
      <family val="3"/>
    </font>
    <font>
      <sz val="4"/>
      <color rgb="FF9CDCFE"/>
      <name val="Consolas"/>
      <family val="3"/>
    </font>
    <font>
      <sz val="4"/>
      <color rgb="FFD4D4D4"/>
      <name val="Consolas"/>
      <family val="3"/>
    </font>
    <font>
      <sz val="4"/>
      <color rgb="FF569CD6"/>
      <name val="Consolas"/>
      <family val="3"/>
    </font>
    <font>
      <sz val="4"/>
      <color rgb="FFDCDCAA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1" fillId="0" borderId="0" xfId="0" applyFont="1" applyAlignment="1">
      <alignment vertical="center"/>
    </xf>
    <xf numFmtId="2" fontId="0" fillId="0" borderId="0" xfId="0" applyNumberForma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>
      <selection activeCell="A12" sqref="A12:XFD12"/>
    </sheetView>
  </sheetViews>
  <sheetFormatPr baseColWidth="10" defaultRowHeight="14.4" x14ac:dyDescent="0.55000000000000004"/>
  <cols>
    <col min="4" max="7" width="10.9453125" style="2"/>
    <col min="8" max="8" width="21.20703125" style="4" customWidth="1"/>
    <col min="10" max="10" width="13.20703125" customWidth="1"/>
    <col min="11" max="11" width="7.20703125" customWidth="1"/>
    <col min="12" max="12" width="4.3125" customWidth="1"/>
    <col min="13" max="13" width="5.62890625" customWidth="1"/>
    <col min="15" max="15" width="11.83984375" customWidth="1"/>
    <col min="16" max="16" width="19.7890625" customWidth="1"/>
    <col min="17" max="17" width="17.05078125" customWidth="1"/>
    <col min="18" max="18" width="21.47265625" customWidth="1"/>
  </cols>
  <sheetData>
    <row r="1" spans="1:21" x14ac:dyDescent="0.55000000000000004">
      <c r="C1" t="s">
        <v>3</v>
      </c>
      <c r="D1" s="2">
        <v>15.6</v>
      </c>
      <c r="E1" s="2">
        <v>13.7</v>
      </c>
      <c r="F1" s="6">
        <v>710</v>
      </c>
      <c r="G1" s="6">
        <v>620</v>
      </c>
      <c r="H1" s="5" t="s">
        <v>17</v>
      </c>
    </row>
    <row r="2" spans="1:21" x14ac:dyDescent="0.55000000000000004">
      <c r="F2" s="6">
        <v>28</v>
      </c>
      <c r="G2" s="6">
        <v>-23</v>
      </c>
      <c r="H2" s="5" t="s">
        <v>18</v>
      </c>
      <c r="U2" t="s">
        <v>36</v>
      </c>
    </row>
    <row r="3" spans="1:21" x14ac:dyDescent="0.55000000000000004">
      <c r="F3" s="6"/>
      <c r="G3" s="6"/>
      <c r="H3" s="5"/>
      <c r="J3" s="9"/>
      <c r="P3" s="11" t="s">
        <v>33</v>
      </c>
    </row>
    <row r="4" spans="1:21" x14ac:dyDescent="0.55000000000000004">
      <c r="A4" s="1" t="s">
        <v>0</v>
      </c>
      <c r="B4" s="1" t="s">
        <v>1</v>
      </c>
      <c r="C4" s="1" t="s">
        <v>2</v>
      </c>
      <c r="D4" s="2" t="s">
        <v>15</v>
      </c>
      <c r="E4" s="2" t="s">
        <v>16</v>
      </c>
      <c r="F4" s="7" t="s">
        <v>20</v>
      </c>
      <c r="G4" s="7" t="s">
        <v>21</v>
      </c>
    </row>
    <row r="5" spans="1:21" x14ac:dyDescent="0.55000000000000004">
      <c r="A5">
        <v>1</v>
      </c>
      <c r="B5">
        <v>5</v>
      </c>
      <c r="C5">
        <v>5.8</v>
      </c>
      <c r="D5" s="3">
        <f>B5/$D$1</f>
        <v>0.32051282051282054</v>
      </c>
      <c r="E5" s="3">
        <f>1-C5/$E$1</f>
        <v>0.57664233576642343</v>
      </c>
      <c r="F5" s="8">
        <f>D5*$F$1+$F$2</f>
        <v>255.56410256410257</v>
      </c>
      <c r="G5" s="8">
        <f>E5*$G$1+$G$2</f>
        <v>334.51824817518252</v>
      </c>
      <c r="H5" s="4" t="s">
        <v>29</v>
      </c>
      <c r="J5" t="s">
        <v>22</v>
      </c>
      <c r="K5" s="10">
        <f>D5*100</f>
        <v>32.051282051282051</v>
      </c>
      <c r="L5" t="s">
        <v>23</v>
      </c>
      <c r="M5" s="10">
        <f>E5*100</f>
        <v>57.664233576642346</v>
      </c>
      <c r="N5" t="s">
        <v>24</v>
      </c>
      <c r="P5" t="str">
        <f>H5</f>
        <v>1_NW.jpg</v>
      </c>
      <c r="Q5" t="s">
        <v>34</v>
      </c>
      <c r="R5" t="s">
        <v>51</v>
      </c>
      <c r="S5" t="s">
        <v>35</v>
      </c>
    </row>
    <row r="6" spans="1:21" x14ac:dyDescent="0.55000000000000004">
      <c r="A6">
        <v>2</v>
      </c>
      <c r="B6">
        <v>10.4</v>
      </c>
      <c r="C6">
        <v>13.4</v>
      </c>
      <c r="D6" s="3">
        <f>B6/$D$1</f>
        <v>0.66666666666666674</v>
      </c>
      <c r="E6" s="3">
        <f>1-C6/$E$1</f>
        <v>2.1897810218978075E-2</v>
      </c>
      <c r="F6" s="8">
        <f>D6*$F$1+$F$2</f>
        <v>501.33333333333337</v>
      </c>
      <c r="G6" s="8">
        <f>E6*$G$1+$G$2</f>
        <v>-9.4233576642335937</v>
      </c>
      <c r="H6" s="4" t="s">
        <v>4</v>
      </c>
      <c r="J6" t="s">
        <v>22</v>
      </c>
      <c r="K6" s="10">
        <f>D6*100</f>
        <v>66.666666666666671</v>
      </c>
      <c r="L6" t="s">
        <v>23</v>
      </c>
      <c r="M6" s="10">
        <f>E6*100</f>
        <v>2.1897810218978075</v>
      </c>
      <c r="N6" t="s">
        <v>24</v>
      </c>
      <c r="P6" t="str">
        <f>H6</f>
        <v>2_StocBilles.jpg</v>
      </c>
      <c r="Q6" t="s">
        <v>34</v>
      </c>
      <c r="R6" t="s">
        <v>37</v>
      </c>
      <c r="S6" t="s">
        <v>35</v>
      </c>
    </row>
    <row r="7" spans="1:21" x14ac:dyDescent="0.55000000000000004">
      <c r="A7">
        <v>3</v>
      </c>
      <c r="B7">
        <v>5.5</v>
      </c>
      <c r="C7">
        <v>0.2</v>
      </c>
      <c r="D7" s="3">
        <f t="shared" ref="D7:D24" si="0">B7/$D$1</f>
        <v>0.35256410256410259</v>
      </c>
      <c r="E7" s="3">
        <f t="shared" ref="E7:E24" si="1">1-C7/$E$1</f>
        <v>0.98540145985401462</v>
      </c>
      <c r="F7" s="8">
        <f t="shared" ref="F7:F24" si="2">D7*$F$1+$F$2</f>
        <v>278.32051282051282</v>
      </c>
      <c r="G7" s="8">
        <f t="shared" ref="G7:G24" si="3">E7*$G$1+$G$2</f>
        <v>587.94890510948903</v>
      </c>
      <c r="H7" s="4" t="s">
        <v>5</v>
      </c>
      <c r="J7" t="s">
        <v>22</v>
      </c>
      <c r="K7" s="10">
        <f t="shared" ref="K7:K24" si="4">D7*100</f>
        <v>35.256410256410255</v>
      </c>
      <c r="L7" t="s">
        <v>23</v>
      </c>
      <c r="M7" s="10">
        <f t="shared" ref="M7:M24" si="5">E7*100</f>
        <v>98.540145985401466</v>
      </c>
      <c r="N7" t="s">
        <v>24</v>
      </c>
      <c r="P7" t="str">
        <f t="shared" ref="P7:P24" si="6">H7</f>
        <v>3_StocBilles.jpg</v>
      </c>
      <c r="Q7" t="s">
        <v>34</v>
      </c>
      <c r="R7" t="s">
        <v>37</v>
      </c>
      <c r="S7" t="s">
        <v>35</v>
      </c>
    </row>
    <row r="8" spans="1:21" x14ac:dyDescent="0.55000000000000004">
      <c r="A8">
        <v>4</v>
      </c>
      <c r="B8">
        <v>13</v>
      </c>
      <c r="C8">
        <v>8.9</v>
      </c>
      <c r="D8" s="3">
        <f t="shared" si="0"/>
        <v>0.83333333333333337</v>
      </c>
      <c r="E8" s="3">
        <f t="shared" si="1"/>
        <v>0.35036496350364954</v>
      </c>
      <c r="F8" s="8">
        <f t="shared" si="2"/>
        <v>619.66666666666674</v>
      </c>
      <c r="G8" s="8">
        <f t="shared" si="3"/>
        <v>194.22627737226273</v>
      </c>
      <c r="H8" s="4" t="s">
        <v>6</v>
      </c>
      <c r="J8" t="s">
        <v>22</v>
      </c>
      <c r="K8" s="10">
        <f t="shared" si="4"/>
        <v>83.333333333333343</v>
      </c>
      <c r="L8" t="s">
        <v>23</v>
      </c>
      <c r="M8" s="10">
        <f t="shared" si="5"/>
        <v>35.036496350364956</v>
      </c>
      <c r="N8" t="s">
        <v>24</v>
      </c>
      <c r="P8" t="str">
        <f t="shared" si="6"/>
        <v>4_Billonnage.jpg</v>
      </c>
      <c r="Q8" t="s">
        <v>34</v>
      </c>
      <c r="R8" t="s">
        <v>38</v>
      </c>
      <c r="S8" t="s">
        <v>35</v>
      </c>
    </row>
    <row r="9" spans="1:21" x14ac:dyDescent="0.55000000000000004">
      <c r="A9">
        <v>5</v>
      </c>
      <c r="B9">
        <v>12.5</v>
      </c>
      <c r="C9">
        <v>7.15</v>
      </c>
      <c r="D9" s="3">
        <f t="shared" ref="D9" si="7">B9/$D$1</f>
        <v>0.80128205128205132</v>
      </c>
      <c r="E9" s="3">
        <f t="shared" ref="E9" si="8">1-C9/$E$1</f>
        <v>0.47810218978102181</v>
      </c>
      <c r="F9" s="8">
        <f t="shared" si="2"/>
        <v>596.91025641025647</v>
      </c>
      <c r="G9" s="8">
        <f t="shared" si="3"/>
        <v>273.42335766423355</v>
      </c>
      <c r="H9" s="4" t="s">
        <v>7</v>
      </c>
      <c r="J9" t="s">
        <v>22</v>
      </c>
      <c r="K9" s="10">
        <f t="shared" si="4"/>
        <v>80.128205128205138</v>
      </c>
      <c r="L9" t="s">
        <v>23</v>
      </c>
      <c r="M9" s="10">
        <f t="shared" si="5"/>
        <v>47.810218978102185</v>
      </c>
      <c r="N9" t="s">
        <v>24</v>
      </c>
      <c r="P9" t="str">
        <f t="shared" si="6"/>
        <v>5_ScieRennepont.jpg</v>
      </c>
      <c r="Q9" t="s">
        <v>34</v>
      </c>
      <c r="R9" t="s">
        <v>39</v>
      </c>
      <c r="S9" t="s">
        <v>35</v>
      </c>
    </row>
    <row r="10" spans="1:21" x14ac:dyDescent="0.55000000000000004">
      <c r="A10">
        <v>6</v>
      </c>
      <c r="B10">
        <v>13</v>
      </c>
      <c r="C10">
        <v>7.17</v>
      </c>
      <c r="D10" s="3">
        <f t="shared" ref="D10" si="9">B10/$D$1</f>
        <v>0.83333333333333337</v>
      </c>
      <c r="E10" s="3">
        <f t="shared" ref="E10" si="10">1-C10/$E$1</f>
        <v>0.47664233576642334</v>
      </c>
      <c r="F10" s="8"/>
      <c r="G10" s="8"/>
      <c r="H10" t="s">
        <v>25</v>
      </c>
      <c r="J10" t="s">
        <v>22</v>
      </c>
      <c r="K10" s="10">
        <f t="shared" ref="K10" si="11">D10*100</f>
        <v>83.333333333333343</v>
      </c>
      <c r="L10" t="s">
        <v>23</v>
      </c>
      <c r="M10" s="10">
        <f t="shared" ref="M10" si="12">E10*100</f>
        <v>47.664233576642332</v>
      </c>
      <c r="N10" t="s">
        <v>24</v>
      </c>
      <c r="P10" t="str">
        <f t="shared" ref="P10" si="13">H10</f>
        <v>6_JeanLeScieur.jpg</v>
      </c>
      <c r="Q10" t="s">
        <v>34</v>
      </c>
      <c r="R10" t="s">
        <v>40</v>
      </c>
      <c r="S10" t="s">
        <v>35</v>
      </c>
    </row>
    <row r="11" spans="1:21" x14ac:dyDescent="0.55000000000000004">
      <c r="A11">
        <v>7</v>
      </c>
      <c r="B11">
        <v>13.5</v>
      </c>
      <c r="C11">
        <v>7.2</v>
      </c>
      <c r="D11" s="3">
        <f t="shared" si="0"/>
        <v>0.86538461538461542</v>
      </c>
      <c r="E11" s="3">
        <f t="shared" si="1"/>
        <v>0.47445255474452552</v>
      </c>
      <c r="F11" s="8">
        <f t="shared" si="2"/>
        <v>642.42307692307691</v>
      </c>
      <c r="G11" s="8">
        <f t="shared" si="3"/>
        <v>271.16058394160581</v>
      </c>
      <c r="H11" s="4" t="s">
        <v>26</v>
      </c>
      <c r="J11" t="s">
        <v>22</v>
      </c>
      <c r="K11" s="10">
        <f t="shared" si="4"/>
        <v>86.538461538461547</v>
      </c>
      <c r="L11" t="s">
        <v>23</v>
      </c>
      <c r="M11" s="10">
        <f t="shared" si="5"/>
        <v>47.445255474452551</v>
      </c>
      <c r="N11" t="s">
        <v>24</v>
      </c>
      <c r="P11" t="str">
        <f t="shared" si="6"/>
        <v>7_PostPilotScie.jpg</v>
      </c>
      <c r="Q11" t="s">
        <v>34</v>
      </c>
      <c r="R11" t="s">
        <v>41</v>
      </c>
      <c r="S11" t="s">
        <v>35</v>
      </c>
    </row>
    <row r="12" spans="1:21" x14ac:dyDescent="0.55000000000000004">
      <c r="A12">
        <v>8</v>
      </c>
      <c r="B12">
        <v>12</v>
      </c>
      <c r="C12">
        <v>7</v>
      </c>
      <c r="D12" s="3">
        <f t="shared" si="0"/>
        <v>0.76923076923076927</v>
      </c>
      <c r="E12" s="3">
        <f t="shared" si="1"/>
        <v>0.48905109489051091</v>
      </c>
      <c r="F12" s="8">
        <f t="shared" si="2"/>
        <v>574.15384615384619</v>
      </c>
      <c r="G12" s="8">
        <f t="shared" si="3"/>
        <v>280.21167883211677</v>
      </c>
      <c r="H12" s="4" t="s">
        <v>27</v>
      </c>
      <c r="J12" t="s">
        <v>22</v>
      </c>
      <c r="K12" s="10">
        <f t="shared" si="4"/>
        <v>76.923076923076934</v>
      </c>
      <c r="L12" t="s">
        <v>23</v>
      </c>
      <c r="M12" s="10">
        <f t="shared" si="5"/>
        <v>48.905109489051092</v>
      </c>
      <c r="N12" t="s">
        <v>24</v>
      </c>
      <c r="P12" t="str">
        <f t="shared" si="6"/>
        <v>8_TapisRoulant.jpg</v>
      </c>
      <c r="Q12" t="s">
        <v>34</v>
      </c>
      <c r="R12" t="s">
        <v>42</v>
      </c>
      <c r="S12" t="s">
        <v>35</v>
      </c>
    </row>
    <row r="13" spans="1:21" x14ac:dyDescent="0.55000000000000004">
      <c r="A13">
        <v>9</v>
      </c>
      <c r="B13">
        <v>9.4</v>
      </c>
      <c r="C13">
        <v>7.2</v>
      </c>
      <c r="D13" s="3">
        <f t="shared" si="0"/>
        <v>0.60256410256410264</v>
      </c>
      <c r="E13" s="3">
        <f t="shared" si="1"/>
        <v>0.47445255474452552</v>
      </c>
      <c r="F13" s="8">
        <f t="shared" si="2"/>
        <v>455.82051282051287</v>
      </c>
      <c r="G13" s="8">
        <f t="shared" si="3"/>
        <v>271.16058394160581</v>
      </c>
      <c r="H13" s="4" t="s">
        <v>28</v>
      </c>
      <c r="J13" t="s">
        <v>22</v>
      </c>
      <c r="K13" s="10">
        <f t="shared" si="4"/>
        <v>60.256410256410263</v>
      </c>
      <c r="L13" t="s">
        <v>23</v>
      </c>
      <c r="M13" s="10">
        <f t="shared" si="5"/>
        <v>47.445255474452551</v>
      </c>
      <c r="N13" t="s">
        <v>24</v>
      </c>
      <c r="P13" t="str">
        <f t="shared" si="6"/>
        <v>9_LaPropio.jpg</v>
      </c>
      <c r="Q13" t="s">
        <v>34</v>
      </c>
      <c r="R13" t="s">
        <v>43</v>
      </c>
      <c r="S13" t="s">
        <v>35</v>
      </c>
    </row>
    <row r="14" spans="1:21" x14ac:dyDescent="0.55000000000000004">
      <c r="A14">
        <v>10</v>
      </c>
      <c r="B14">
        <v>10.4</v>
      </c>
      <c r="C14">
        <v>6.8</v>
      </c>
      <c r="D14" s="3">
        <f t="shared" si="0"/>
        <v>0.66666666666666674</v>
      </c>
      <c r="E14" s="3">
        <f t="shared" si="1"/>
        <v>0.50364963503649629</v>
      </c>
      <c r="F14" s="8">
        <f t="shared" si="2"/>
        <v>501.33333333333337</v>
      </c>
      <c r="G14" s="8">
        <f t="shared" si="3"/>
        <v>289.26277372262768</v>
      </c>
      <c r="H14" s="4" t="s">
        <v>8</v>
      </c>
      <c r="J14" t="s">
        <v>22</v>
      </c>
      <c r="K14" s="10">
        <f t="shared" si="4"/>
        <v>66.666666666666671</v>
      </c>
      <c r="L14" t="s">
        <v>23</v>
      </c>
      <c r="M14" s="10">
        <f t="shared" si="5"/>
        <v>50.364963503649626</v>
      </c>
      <c r="N14" t="s">
        <v>24</v>
      </c>
      <c r="P14" t="str">
        <f t="shared" si="6"/>
        <v>10_ScieADelignier.jpg</v>
      </c>
      <c r="Q14" t="s">
        <v>34</v>
      </c>
      <c r="R14" t="s">
        <v>44</v>
      </c>
      <c r="S14" t="s">
        <v>35</v>
      </c>
    </row>
    <row r="15" spans="1:21" x14ac:dyDescent="0.55000000000000004">
      <c r="A15">
        <v>11</v>
      </c>
      <c r="B15">
        <v>8.8000000000000007</v>
      </c>
      <c r="C15">
        <v>6.4</v>
      </c>
      <c r="D15" s="3">
        <f t="shared" si="0"/>
        <v>0.56410256410256421</v>
      </c>
      <c r="E15" s="3">
        <f t="shared" si="1"/>
        <v>0.53284671532846706</v>
      </c>
      <c r="F15" s="8">
        <f t="shared" si="2"/>
        <v>428.51282051282061</v>
      </c>
      <c r="G15" s="8">
        <f t="shared" si="3"/>
        <v>307.36496350364956</v>
      </c>
      <c r="H15" s="4" t="s">
        <v>32</v>
      </c>
      <c r="J15" t="s">
        <v>22</v>
      </c>
      <c r="K15" s="10">
        <f t="shared" si="4"/>
        <v>56.410256410256423</v>
      </c>
      <c r="L15" t="s">
        <v>23</v>
      </c>
      <c r="M15" s="10">
        <f t="shared" si="5"/>
        <v>53.284671532846708</v>
      </c>
      <c r="N15" t="s">
        <v>24</v>
      </c>
      <c r="P15" t="str">
        <f>H15</f>
        <v>11_DossesPapetterie.jpg</v>
      </c>
      <c r="Q15" t="s">
        <v>34</v>
      </c>
      <c r="R15" t="s">
        <v>45</v>
      </c>
      <c r="S15" t="s">
        <v>35</v>
      </c>
    </row>
    <row r="16" spans="1:21" x14ac:dyDescent="0.55000000000000004">
      <c r="A16">
        <v>12</v>
      </c>
      <c r="B16">
        <v>6.7</v>
      </c>
      <c r="C16">
        <v>6</v>
      </c>
      <c r="D16" s="3">
        <f t="shared" si="0"/>
        <v>0.42948717948717952</v>
      </c>
      <c r="E16" s="3">
        <f t="shared" si="1"/>
        <v>0.56204379562043794</v>
      </c>
      <c r="F16" s="8">
        <f t="shared" si="2"/>
        <v>332.93589743589746</v>
      </c>
      <c r="G16" s="8">
        <f t="shared" si="3"/>
        <v>325.4671532846715</v>
      </c>
      <c r="H16" s="4" t="s">
        <v>30</v>
      </c>
      <c r="J16" t="s">
        <v>22</v>
      </c>
      <c r="K16" s="10">
        <f t="shared" si="4"/>
        <v>42.948717948717949</v>
      </c>
      <c r="L16" t="s">
        <v>23</v>
      </c>
      <c r="M16" s="10">
        <f t="shared" si="5"/>
        <v>56.20437956204379</v>
      </c>
      <c r="N16" t="s">
        <v>24</v>
      </c>
      <c r="P16" t="str">
        <f t="shared" si="6"/>
        <v>12_GrandePiece.jpg</v>
      </c>
      <c r="Q16" t="s">
        <v>34</v>
      </c>
      <c r="R16" t="s">
        <v>46</v>
      </c>
      <c r="S16" t="s">
        <v>35</v>
      </c>
    </row>
    <row r="17" spans="1:19" x14ac:dyDescent="0.55000000000000004">
      <c r="A17">
        <v>14</v>
      </c>
      <c r="B17">
        <v>6.8</v>
      </c>
      <c r="C17">
        <v>6.8</v>
      </c>
      <c r="D17" s="3">
        <f t="shared" si="0"/>
        <v>0.4358974358974359</v>
      </c>
      <c r="E17" s="3">
        <f t="shared" si="1"/>
        <v>0.50364963503649629</v>
      </c>
      <c r="F17" s="8">
        <f t="shared" si="2"/>
        <v>337.4871794871795</v>
      </c>
      <c r="G17" s="8">
        <f t="shared" si="3"/>
        <v>289.26277372262768</v>
      </c>
      <c r="H17" s="4" t="s">
        <v>9</v>
      </c>
      <c r="J17" t="s">
        <v>22</v>
      </c>
      <c r="K17" s="10">
        <f t="shared" si="4"/>
        <v>43.589743589743591</v>
      </c>
      <c r="L17" t="s">
        <v>23</v>
      </c>
      <c r="M17" s="10">
        <f t="shared" si="5"/>
        <v>50.364963503649626</v>
      </c>
      <c r="N17" t="s">
        <v>24</v>
      </c>
      <c r="P17" t="str">
        <f t="shared" si="6"/>
        <v>14_GrueScieBatt.jpg</v>
      </c>
      <c r="Q17" t="s">
        <v>34</v>
      </c>
      <c r="R17" t="s">
        <v>47</v>
      </c>
      <c r="S17" t="s">
        <v>35</v>
      </c>
    </row>
    <row r="18" spans="1:19" x14ac:dyDescent="0.55000000000000004">
      <c r="A18">
        <v>16</v>
      </c>
      <c r="B18">
        <v>7.5</v>
      </c>
      <c r="C18">
        <v>8.8000000000000007</v>
      </c>
      <c r="D18" s="3">
        <f t="shared" si="0"/>
        <v>0.48076923076923078</v>
      </c>
      <c r="E18" s="3">
        <f t="shared" si="1"/>
        <v>0.35766423357664223</v>
      </c>
      <c r="F18" s="8">
        <f t="shared" si="2"/>
        <v>369.34615384615387</v>
      </c>
      <c r="G18" s="8">
        <f t="shared" si="3"/>
        <v>198.75182481751818</v>
      </c>
      <c r="H18" s="4" t="s">
        <v>10</v>
      </c>
      <c r="J18" t="s">
        <v>22</v>
      </c>
      <c r="K18" s="10">
        <f t="shared" si="4"/>
        <v>48.07692307692308</v>
      </c>
      <c r="L18" t="s">
        <v>23</v>
      </c>
      <c r="M18" s="10">
        <f t="shared" si="5"/>
        <v>35.766423357664223</v>
      </c>
      <c r="N18" t="s">
        <v>24</v>
      </c>
      <c r="P18" t="str">
        <f t="shared" si="6"/>
        <v>16_QuaiChargement.jpg</v>
      </c>
      <c r="Q18" t="s">
        <v>34</v>
      </c>
      <c r="R18" t="s">
        <v>48</v>
      </c>
      <c r="S18" t="s">
        <v>35</v>
      </c>
    </row>
    <row r="19" spans="1:19" x14ac:dyDescent="0.55000000000000004">
      <c r="A19">
        <v>17</v>
      </c>
      <c r="B19">
        <v>7.4</v>
      </c>
      <c r="C19">
        <v>10.5</v>
      </c>
      <c r="D19" s="3">
        <f>B19/$D$1</f>
        <v>0.47435897435897439</v>
      </c>
      <c r="E19" s="3">
        <f>1-C19/$E$1</f>
        <v>0.23357664233576636</v>
      </c>
      <c r="F19" s="8">
        <f t="shared" si="2"/>
        <v>364.79487179487182</v>
      </c>
      <c r="G19" s="8">
        <f t="shared" si="3"/>
        <v>121.81751824817513</v>
      </c>
      <c r="H19" s="4" t="s">
        <v>11</v>
      </c>
      <c r="J19" t="s">
        <v>22</v>
      </c>
      <c r="K19" s="10">
        <f t="shared" si="4"/>
        <v>47.435897435897438</v>
      </c>
      <c r="L19" t="s">
        <v>23</v>
      </c>
      <c r="M19" s="10">
        <f t="shared" si="5"/>
        <v>23.357664233576635</v>
      </c>
      <c r="N19" t="s">
        <v>24</v>
      </c>
      <c r="P19" t="str">
        <f t="shared" si="6"/>
        <v>17_QuaiChargement.jpg</v>
      </c>
      <c r="Q19" t="s">
        <v>34</v>
      </c>
      <c r="R19" t="s">
        <v>48</v>
      </c>
      <c r="S19" t="s">
        <v>35</v>
      </c>
    </row>
    <row r="20" spans="1:19" x14ac:dyDescent="0.55000000000000004">
      <c r="A20">
        <v>18</v>
      </c>
      <c r="B20">
        <v>15.2</v>
      </c>
      <c r="C20">
        <v>12.6</v>
      </c>
      <c r="D20" s="3">
        <f>B20/$D$1</f>
        <v>0.97435897435897434</v>
      </c>
      <c r="E20" s="3">
        <f>1-C20/$E$1</f>
        <v>8.0291970802919721E-2</v>
      </c>
      <c r="F20" s="8">
        <f t="shared" ref="F20" si="14">D20*$F$1+$F$2</f>
        <v>719.79487179487182</v>
      </c>
      <c r="G20" s="8">
        <f>E20*$G$1+$G$2</f>
        <v>26.781021897810227</v>
      </c>
      <c r="H20" s="4" t="s">
        <v>19</v>
      </c>
      <c r="J20" t="s">
        <v>22</v>
      </c>
      <c r="K20" s="10">
        <f t="shared" si="4"/>
        <v>97.435897435897431</v>
      </c>
      <c r="L20" t="s">
        <v>23</v>
      </c>
      <c r="M20" s="10">
        <f t="shared" si="5"/>
        <v>8.0291970802919721</v>
      </c>
      <c r="N20" t="s">
        <v>24</v>
      </c>
      <c r="P20" t="str">
        <f t="shared" si="6"/>
        <v>18_QuaiChargement.jpg</v>
      </c>
      <c r="Q20" t="s">
        <v>34</v>
      </c>
      <c r="R20" t="s">
        <v>48</v>
      </c>
      <c r="S20" t="s">
        <v>35</v>
      </c>
    </row>
    <row r="21" spans="1:19" x14ac:dyDescent="0.55000000000000004">
      <c r="A21">
        <v>19</v>
      </c>
      <c r="B21">
        <v>12.4</v>
      </c>
      <c r="C21">
        <v>4.8</v>
      </c>
      <c r="D21" s="3">
        <f t="shared" si="0"/>
        <v>0.79487179487179493</v>
      </c>
      <c r="E21" s="3">
        <f t="shared" si="1"/>
        <v>0.64963503649635035</v>
      </c>
      <c r="F21" s="8">
        <f t="shared" si="2"/>
        <v>592.35897435897436</v>
      </c>
      <c r="G21" s="8">
        <f t="shared" si="3"/>
        <v>379.77372262773724</v>
      </c>
      <c r="H21" s="4" t="s">
        <v>12</v>
      </c>
      <c r="J21" t="s">
        <v>22</v>
      </c>
      <c r="K21" s="10">
        <f t="shared" si="4"/>
        <v>79.487179487179489</v>
      </c>
      <c r="L21" t="s">
        <v>23</v>
      </c>
      <c r="M21" s="10">
        <f t="shared" si="5"/>
        <v>64.96350364963503</v>
      </c>
      <c r="N21" t="s">
        <v>24</v>
      </c>
      <c r="P21" t="str">
        <f t="shared" si="6"/>
        <v>19_TransfoSW.jpg</v>
      </c>
      <c r="Q21" t="s">
        <v>34</v>
      </c>
      <c r="R21" t="s">
        <v>49</v>
      </c>
      <c r="S21" t="s">
        <v>35</v>
      </c>
    </row>
    <row r="22" spans="1:19" x14ac:dyDescent="0.55000000000000004">
      <c r="A22">
        <v>20</v>
      </c>
      <c r="B22">
        <v>6.2</v>
      </c>
      <c r="C22">
        <v>4.0999999999999996</v>
      </c>
      <c r="D22" s="3">
        <f t="shared" si="0"/>
        <v>0.39743589743589747</v>
      </c>
      <c r="E22" s="3">
        <f t="shared" si="1"/>
        <v>0.7007299270072993</v>
      </c>
      <c r="F22" s="8">
        <f t="shared" si="2"/>
        <v>310.17948717948718</v>
      </c>
      <c r="G22" s="8">
        <f t="shared" si="3"/>
        <v>411.45255474452557</v>
      </c>
      <c r="H22" s="4" t="s">
        <v>31</v>
      </c>
      <c r="J22" t="s">
        <v>22</v>
      </c>
      <c r="K22" s="10">
        <f t="shared" si="4"/>
        <v>39.743589743589745</v>
      </c>
      <c r="L22" t="s">
        <v>23</v>
      </c>
      <c r="M22" s="10">
        <f t="shared" si="5"/>
        <v>70.072992700729927</v>
      </c>
      <c r="N22" t="s">
        <v>24</v>
      </c>
      <c r="P22" t="str">
        <f>H22</f>
        <v>20_W.jpg</v>
      </c>
      <c r="Q22" t="s">
        <v>34</v>
      </c>
      <c r="R22" t="s">
        <v>50</v>
      </c>
      <c r="S22" t="s">
        <v>35</v>
      </c>
    </row>
    <row r="23" spans="1:19" x14ac:dyDescent="0.55000000000000004">
      <c r="A23">
        <v>21</v>
      </c>
      <c r="B23">
        <v>8.1999999999999993</v>
      </c>
      <c r="C23">
        <v>5</v>
      </c>
      <c r="D23" s="3">
        <f t="shared" si="0"/>
        <v>0.52564102564102566</v>
      </c>
      <c r="E23" s="3">
        <f t="shared" si="1"/>
        <v>0.63503649635036497</v>
      </c>
      <c r="F23" s="8">
        <f t="shared" si="2"/>
        <v>401.20512820512823</v>
      </c>
      <c r="G23" s="8">
        <f t="shared" si="3"/>
        <v>370.72262773722628</v>
      </c>
      <c r="H23" s="4" t="s">
        <v>13</v>
      </c>
      <c r="J23" t="s">
        <v>22</v>
      </c>
      <c r="K23" s="10">
        <f t="shared" si="4"/>
        <v>52.564102564102569</v>
      </c>
      <c r="L23" t="s">
        <v>23</v>
      </c>
      <c r="M23" s="10">
        <f t="shared" si="5"/>
        <v>63.503649635036496</v>
      </c>
      <c r="N23" t="s">
        <v>24</v>
      </c>
      <c r="P23" t="str">
        <f t="shared" si="6"/>
        <v>21_HanguarCamions.jpg</v>
      </c>
      <c r="Q23" t="s">
        <v>34</v>
      </c>
      <c r="R23" t="s">
        <v>52</v>
      </c>
      <c r="S23" t="s">
        <v>35</v>
      </c>
    </row>
    <row r="24" spans="1:19" x14ac:dyDescent="0.55000000000000004">
      <c r="A24">
        <v>22</v>
      </c>
      <c r="B24">
        <v>6.8</v>
      </c>
      <c r="C24">
        <v>8</v>
      </c>
      <c r="D24" s="3">
        <f t="shared" si="0"/>
        <v>0.4358974358974359</v>
      </c>
      <c r="E24" s="3">
        <f t="shared" si="1"/>
        <v>0.41605839416058388</v>
      </c>
      <c r="F24" s="8">
        <f t="shared" si="2"/>
        <v>337.4871794871795</v>
      </c>
      <c r="G24" s="8">
        <f t="shared" si="3"/>
        <v>234.956204379562</v>
      </c>
      <c r="H24" s="4" t="s">
        <v>14</v>
      </c>
      <c r="J24" t="s">
        <v>22</v>
      </c>
      <c r="K24" s="10">
        <f t="shared" si="4"/>
        <v>43.589743589743591</v>
      </c>
      <c r="L24" t="s">
        <v>23</v>
      </c>
      <c r="M24" s="10">
        <f t="shared" si="5"/>
        <v>41.605839416058387</v>
      </c>
      <c r="N24" t="s">
        <v>24</v>
      </c>
      <c r="P24" t="str">
        <f t="shared" si="6"/>
        <v>22_LocalSciure.jpg</v>
      </c>
      <c r="Q24" t="s">
        <v>34</v>
      </c>
      <c r="R24" t="s">
        <v>53</v>
      </c>
      <c r="S24" t="s">
        <v>35</v>
      </c>
    </row>
    <row r="25" spans="1:19" x14ac:dyDescent="0.55000000000000004">
      <c r="A25">
        <v>23</v>
      </c>
    </row>
    <row r="27" spans="1:19" x14ac:dyDescent="0.55000000000000004">
      <c r="D27"/>
      <c r="E27"/>
      <c r="F27"/>
      <c r="G27"/>
      <c r="H27"/>
    </row>
    <row r="28" spans="1:19" x14ac:dyDescent="0.55000000000000004">
      <c r="D28"/>
      <c r="E28"/>
      <c r="F28"/>
      <c r="G28"/>
      <c r="H28"/>
    </row>
    <row r="29" spans="1:19" x14ac:dyDescent="0.55000000000000004">
      <c r="D29"/>
      <c r="E29"/>
      <c r="F29"/>
      <c r="G29"/>
      <c r="H29"/>
    </row>
    <row r="30" spans="1:19" x14ac:dyDescent="0.55000000000000004">
      <c r="D30"/>
      <c r="E30"/>
      <c r="F30"/>
      <c r="G30"/>
      <c r="H30"/>
    </row>
    <row r="31" spans="1:19" x14ac:dyDescent="0.55000000000000004">
      <c r="D31"/>
      <c r="E31"/>
      <c r="F31"/>
      <c r="G31"/>
      <c r="H31"/>
    </row>
    <row r="32" spans="1:19" x14ac:dyDescent="0.55000000000000004">
      <c r="D32"/>
      <c r="E32"/>
      <c r="F32"/>
      <c r="G32"/>
      <c r="H32"/>
    </row>
    <row r="33" customFormat="1" x14ac:dyDescent="0.55000000000000004"/>
    <row r="34" customFormat="1" x14ac:dyDescent="0.55000000000000004"/>
    <row r="35" customFormat="1" x14ac:dyDescent="0.55000000000000004"/>
    <row r="36" customFormat="1" x14ac:dyDescent="0.55000000000000004"/>
    <row r="37" customFormat="1" x14ac:dyDescent="0.55000000000000004"/>
    <row r="38" customFormat="1" x14ac:dyDescent="0.55000000000000004"/>
    <row r="39" customFormat="1" x14ac:dyDescent="0.55000000000000004"/>
    <row r="40" customFormat="1" x14ac:dyDescent="0.55000000000000004"/>
    <row r="41" customFormat="1" x14ac:dyDescent="0.55000000000000004"/>
    <row r="42" customFormat="1" x14ac:dyDescent="0.55000000000000004"/>
    <row r="43" customFormat="1" x14ac:dyDescent="0.55000000000000004"/>
    <row r="44" customFormat="1" x14ac:dyDescent="0.55000000000000004"/>
    <row r="45" customFormat="1" x14ac:dyDescent="0.55000000000000004"/>
    <row r="46" customFormat="1" x14ac:dyDescent="0.55000000000000004"/>
    <row r="47" customFormat="1" x14ac:dyDescent="0.55000000000000004"/>
    <row r="48" customFormat="1" x14ac:dyDescent="0.55000000000000004"/>
    <row r="49" customFormat="1" x14ac:dyDescent="0.55000000000000004"/>
    <row r="50" customFormat="1" x14ac:dyDescent="0.55000000000000004"/>
    <row r="51" customFormat="1" x14ac:dyDescent="0.55000000000000004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LEGI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kuenyjkl</dc:creator>
  <cp:lastModifiedBy>Jean-Louis KUENY</cp:lastModifiedBy>
  <dcterms:created xsi:type="dcterms:W3CDTF">2025-12-10T20:20:36Z</dcterms:created>
  <dcterms:modified xsi:type="dcterms:W3CDTF">2025-12-22T07:25:48Z</dcterms:modified>
</cp:coreProperties>
</file>